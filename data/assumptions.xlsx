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re Assumptions" sheetId="2" state="visible" r:id="rId2"/>
    <sheet xmlns:r="http://schemas.openxmlformats.org/officeDocument/2006/relationships" name="DCF Inputs" sheetId="3" state="visible" r:id="rId3"/>
    <sheet xmlns:r="http://schemas.openxmlformats.org/officeDocument/2006/relationships" name="Comps Inputs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.0;[Red]($#,##0.0);-"/>
    <numFmt numFmtId="166" formatCode="#,##0.0;[Red](#,##0.0);-"/>
    <numFmt numFmtId="167" formatCode="0.0%;[Red](0.0%);-"/>
    <numFmt numFmtId="168" formatCode="0.0x;[Red](0.0x);-"/>
  </numFmts>
  <fonts count="1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666666"/>
    </font>
    <font>
      <b val="1"/>
    </font>
    <font>
      <color rgb="000000FF"/>
    </font>
    <font>
      <color rgb="00000000"/>
    </font>
    <font>
      <name val="Aptos"/>
      <b val="1"/>
      <color rgb="00FFFFFF"/>
      <sz val="16"/>
    </font>
    <font>
      <name val="Aptos"/>
      <i val="1"/>
      <color rgb="00666666"/>
      <sz val="10"/>
    </font>
    <font>
      <name val="Aptos"/>
      <b val="1"/>
      <color rgb="00FFFFFF"/>
    </font>
    <font>
      <name val="Aptos"/>
      <color rgb="00666666"/>
    </font>
    <font>
      <name val="Aptos"/>
      <b val="1"/>
    </font>
    <font>
      <name val="Aptos"/>
      <family val="2"/>
      <color theme="1"/>
      <sz val="11"/>
      <scheme val="minor"/>
    </font>
    <font>
      <name val="Aptos"/>
      <color rgb="000000FF"/>
    </font>
    <font>
      <name val="Aptos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D9E1F2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8" fillId="2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2" borderId="0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11" fillId="0" borderId="2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3" fillId="0" borderId="2" applyAlignment="1" pivotButton="0" quotePrefix="0" xfId="0">
      <alignment vertical="top" wrapText="1"/>
    </xf>
    <xf numFmtId="165" fontId="14" fillId="0" borderId="2" applyAlignment="1" pivotButton="0" quotePrefix="0" xfId="0">
      <alignment vertical="top" wrapText="1"/>
    </xf>
    <xf numFmtId="0" fontId="14" fillId="0" borderId="2" applyAlignment="1" pivotButton="0" quotePrefix="0" xfId="0">
      <alignment vertical="top" wrapText="1"/>
    </xf>
    <xf numFmtId="166" fontId="14" fillId="0" borderId="2" applyAlignment="1" pivotButton="0" quotePrefix="0" xfId="0">
      <alignment vertical="top" wrapText="1"/>
    </xf>
    <xf numFmtId="164" fontId="14" fillId="0" borderId="2" applyAlignment="1" pivotButton="0" quotePrefix="0" xfId="0">
      <alignment vertical="top" wrapText="1"/>
    </xf>
    <xf numFmtId="0" fontId="8" fillId="2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13" fillId="0" borderId="2" applyAlignment="1" pivotButton="0" quotePrefix="0" xfId="0">
      <alignment vertical="center"/>
    </xf>
    <xf numFmtId="166" fontId="14" fillId="0" borderId="2" applyAlignment="1" pivotButton="0" quotePrefix="0" xfId="0">
      <alignment vertical="center"/>
    </xf>
    <xf numFmtId="167" fontId="15" fillId="0" borderId="2" applyAlignment="1" pivotButton="0" quotePrefix="0" xfId="0">
      <alignment vertical="center"/>
    </xf>
    <xf numFmtId="167" fontId="14" fillId="0" borderId="2" applyAlignment="1" pivotButton="0" quotePrefix="0" xfId="0">
      <alignment vertical="center"/>
    </xf>
    <xf numFmtId="166" fontId="15" fillId="0" borderId="2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67" fontId="14" fillId="0" borderId="0" applyAlignment="1" pivotButton="0" quotePrefix="0" xfId="0">
      <alignment vertical="center"/>
    </xf>
    <xf numFmtId="166" fontId="14" fillId="0" borderId="0" applyAlignment="1" pivotButton="0" quotePrefix="0" xfId="0">
      <alignment vertical="center"/>
    </xf>
    <xf numFmtId="165" fontId="15" fillId="0" borderId="2" applyAlignment="1" pivotButton="0" quotePrefix="0" xfId="0">
      <alignment vertical="center"/>
    </xf>
    <xf numFmtId="168" fontId="13" fillId="0" borderId="2" applyAlignment="1" pivotButton="0" quotePrefix="0" xfId="0">
      <alignment vertical="center"/>
    </xf>
    <xf numFmtId="167" fontId="13" fillId="0" borderId="2" applyAlignment="1" pivotButton="0" quotePrefix="0" xfId="0">
      <alignment vertical="center"/>
    </xf>
    <xf numFmtId="168" fontId="15" fillId="0" borderId="0" applyAlignment="1" pivotButton="0" quotePrefix="0" xfId="0">
      <alignment vertical="center"/>
    </xf>
    <xf numFmtId="167" fontId="1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WDC Revenue Forecast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'DCF Inputs'!$B$5:$F$5</f>
            </numRef>
          </cat>
          <val>
            <numRef>
              <f>'DCF Inputs'!$B$6:$F$6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$bn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EV/EBITDA 26E Peer Multiples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'Comps Inputs'!D5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'Comps Inputs'!$A$6:$A$11</f>
            </numRef>
          </cat>
          <val>
            <numRef>
              <f>'Comps Inputs'!$D$6:$D$11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B9" authorId="0" shapeId="0">
      <text>
        <t>Source: AI Infrastructure Equity Research Report, May 2026, prepared for academic use.</t>
      </text>
    </comment>
    <comment ref="B12" authorId="0" shapeId="0">
      <text>
        <t>Source: AI Infrastructure Equity Research Report, May 2026, prepared for academic use.</t>
      </text>
    </comment>
    <comment ref="B13" authorId="0" shapeId="0">
      <text>
        <t>Source: AI Infrastructure Equity Research Report, May 2026, prepared for academic use.</t>
      </text>
    </comment>
    <comment ref="B14" authorId="0" shapeId="0">
      <text>
        <t>Source: AI Infrastructure Equity Research Report, May 2026, prepared for academic use.</t>
      </text>
    </comment>
    <comment ref="B15" authorId="0" shapeId="0">
      <text>
        <t>Source: AI Infrastructure Equity Research Report, May 2026, prepared for academic use.</t>
      </text>
    </comment>
    <comment ref="B16" authorId="0" shapeId="0">
      <text>
        <t>Source: AI Infrastructure Equity Research Report, May 2026, prepared for academic use.</t>
      </text>
    </comment>
    <comment ref="B17" authorId="0" shapeId="0">
      <text>
        <t>Source: AI Infrastructure Equity Research Report, May 2026, prepared for academic use.</t>
      </text>
    </comment>
    <comment ref="B18" authorId="0" shapeId="0">
      <text>
        <t>Source: AI Infrastructure Equity Research Report, May 2026, prepared for academic use.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5" customWidth="1" min="2" max="2"/>
    <col width="55" customWidth="1" min="3" max="3"/>
  </cols>
  <sheetData>
    <row r="1" ht="24" customHeight="1">
      <c r="A1" s="1" t="inlineStr">
        <is>
          <t>WDC Equity Research - Assumptions Workbook</t>
        </is>
      </c>
    </row>
    <row r="2">
      <c r="A2" s="2" t="inlineStr">
        <is>
          <t>Academic / interview-preparation model inputs for GitHub repository</t>
        </is>
      </c>
    </row>
    <row r="3"/>
    <row r="4">
      <c r="A4" s="3" t="inlineStr">
        <is>
          <t>Repository File Map</t>
        </is>
      </c>
    </row>
    <row r="5">
      <c r="A5" s="4" t="inlineStr">
        <is>
          <t>Folder</t>
        </is>
      </c>
      <c r="B5" s="4" t="inlineStr">
        <is>
          <t>File</t>
        </is>
      </c>
      <c r="C5" s="4" t="inlineStr">
        <is>
          <t>Description</t>
        </is>
      </c>
    </row>
    <row r="6">
      <c r="A6" s="5" t="inlineStr">
        <is>
          <t>reports/</t>
        </is>
      </c>
      <c r="B6" s="5" t="inlineStr">
        <is>
          <t>AI_Infrastructure_Equity_Research.pdf</t>
        </is>
      </c>
      <c r="C6" s="5" t="inlineStr">
        <is>
          <t>Full sector initiation report</t>
        </is>
      </c>
    </row>
    <row r="7">
      <c r="A7" s="5" t="inlineStr">
        <is>
          <t>reports/</t>
        </is>
      </c>
      <c r="B7" s="5" t="inlineStr">
        <is>
          <t>WDC_Investment_Memo.pdf</t>
        </is>
      </c>
      <c r="C7" s="5" t="inlineStr">
        <is>
          <t>Short investment memo</t>
        </is>
      </c>
    </row>
    <row r="8">
      <c r="A8" s="5" t="inlineStr">
        <is>
          <t>valuation/</t>
        </is>
      </c>
      <c r="B8" s="5" t="inlineStr">
        <is>
          <t>WDC_DCF_Model.xlsx</t>
        </is>
      </c>
      <c r="C8" s="5" t="inlineStr">
        <is>
          <t>DCF valuation model</t>
        </is>
      </c>
    </row>
    <row r="9">
      <c r="A9" s="5" t="inlineStr">
        <is>
          <t>valuation/</t>
        </is>
      </c>
      <c r="B9" s="5" t="inlineStr">
        <is>
          <t>WDC_Trading_Comps.xlsx</t>
        </is>
      </c>
      <c r="C9" s="5" t="inlineStr">
        <is>
          <t>Peer trading comparables</t>
        </is>
      </c>
    </row>
    <row r="10">
      <c r="A10" s="5" t="inlineStr">
        <is>
          <t>presentations/</t>
        </is>
      </c>
      <c r="B10" s="5" t="inlineStr">
        <is>
          <t>WDC_Stock_Pitch.pdf</t>
        </is>
      </c>
      <c r="C10" s="5" t="inlineStr">
        <is>
          <t>Recruiter-ready stock pitch PDF</t>
        </is>
      </c>
    </row>
    <row r="11">
      <c r="A11" s="5" t="inlineStr">
        <is>
          <t>data/</t>
        </is>
      </c>
      <c r="B11" s="5" t="inlineStr">
        <is>
          <t>assumptions.xlsx</t>
        </is>
      </c>
      <c r="C11" s="5" t="inlineStr">
        <is>
          <t>Centralized assumptions file</t>
        </is>
      </c>
    </row>
    <row r="12"/>
    <row r="13"/>
    <row r="14">
      <c r="A14" s="3" t="inlineStr">
        <is>
          <t>Model Governance</t>
        </is>
      </c>
    </row>
    <row r="15">
      <c r="A15" s="6" t="inlineStr">
        <is>
          <t>Author</t>
        </is>
      </c>
      <c r="B15" s="7" t="inlineStr">
        <is>
          <t>Nell Marzouk</t>
        </is>
      </c>
    </row>
    <row r="16">
      <c r="A16" s="6" t="inlineStr">
        <is>
          <t>Purpose</t>
        </is>
      </c>
      <c r="B16" s="7" t="inlineStr">
        <is>
          <t>Academic / interview preparation; not investment advice</t>
        </is>
      </c>
    </row>
    <row r="17">
      <c r="A17" s="6" t="inlineStr">
        <is>
          <t>Primary source</t>
        </is>
      </c>
      <c r="B17" s="7" t="inlineStr">
        <is>
          <t>AI Infrastructure Equity Research Report - May 2026</t>
        </is>
      </c>
    </row>
    <row r="18">
      <c r="A18" s="6" t="inlineStr">
        <is>
          <t>Coverage name</t>
        </is>
      </c>
      <c r="B18" s="7" t="inlineStr">
        <is>
          <t>Western Digital (WDC)</t>
        </is>
      </c>
    </row>
    <row r="19">
      <c r="A19" s="6" t="inlineStr">
        <is>
          <t>Recommendation</t>
        </is>
      </c>
      <c r="B19" s="7" t="inlineStr">
        <is>
          <t>BUY</t>
        </is>
      </c>
    </row>
    <row r="20">
      <c r="A20" s="6" t="inlineStr">
        <is>
          <t>Target Price</t>
        </is>
      </c>
      <c r="B20" s="7" t="inlineStr">
        <is>
          <t>$475</t>
        </is>
      </c>
    </row>
    <row r="21">
      <c r="A21" s="6" t="inlineStr">
        <is>
          <t>Current Price</t>
        </is>
      </c>
      <c r="B21" s="7" t="inlineStr">
        <is>
          <t>$401</t>
        </is>
      </c>
    </row>
    <row r="22">
      <c r="A22" s="6" t="inlineStr">
        <is>
          <t>Implied Upside</t>
        </is>
      </c>
      <c r="B22" s="7" t="inlineStr">
        <is>
          <t>18%</t>
        </is>
      </c>
    </row>
  </sheetData>
  <mergeCells count="4">
    <mergeCell ref="A4:H4"/>
    <mergeCell ref="A14:H1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  <col width="35" customWidth="1" min="4" max="4"/>
  </cols>
  <sheetData>
    <row r="1" ht="24" customHeight="1">
      <c r="A1" s="1" t="inlineStr">
        <is>
          <t>Core Assumptions</t>
        </is>
      </c>
    </row>
    <row r="2">
      <c r="A2" s="2" t="inlineStr">
        <is>
          <t>Hardcoded model inputs from the AI Infrastructure Equity Research report</t>
        </is>
      </c>
    </row>
    <row r="3"/>
    <row r="4">
      <c r="A4" s="3" t="inlineStr">
        <is>
          <t>WDC Company and Stock Inputs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Source / Comment</t>
        </is>
      </c>
    </row>
    <row r="6">
      <c r="A6" s="8" t="inlineStr">
        <is>
          <t>Ticker</t>
        </is>
      </c>
      <c r="B6" s="8" t="inlineStr">
        <is>
          <t>WDC</t>
        </is>
      </c>
      <c r="C6" s="8" t="inlineStr"/>
      <c r="D6" s="8" t="inlineStr">
        <is>
          <t>Coverage universe</t>
        </is>
      </c>
    </row>
    <row r="7">
      <c r="A7" s="8" t="inlineStr">
        <is>
          <t>Company</t>
        </is>
      </c>
      <c r="B7" s="8" t="inlineStr">
        <is>
          <t>Western Digital Corp.</t>
        </is>
      </c>
      <c r="C7" s="8" t="inlineStr"/>
      <c r="D7" s="8" t="inlineStr">
        <is>
          <t>WDC page</t>
        </is>
      </c>
    </row>
    <row r="8">
      <c r="A8" s="8" t="inlineStr">
        <is>
          <t>Rating</t>
        </is>
      </c>
      <c r="B8" s="8" t="inlineStr">
        <is>
          <t>BUY</t>
        </is>
      </c>
      <c r="C8" s="8" t="inlineStr"/>
      <c r="D8" s="8" t="inlineStr">
        <is>
          <t>Report recommendation</t>
        </is>
      </c>
    </row>
    <row r="9">
      <c r="A9" s="8" t="inlineStr">
        <is>
          <t>Current Price</t>
        </is>
      </c>
      <c r="B9" s="9" t="n">
        <v>401</v>
      </c>
      <c r="C9" s="8" t="inlineStr">
        <is>
          <t>$ / share</t>
        </is>
      </c>
      <c r="D9" s="8" t="inlineStr">
        <is>
          <t>Report current price</t>
        </is>
      </c>
    </row>
    <row r="10">
      <c r="A10" s="8" t="inlineStr">
        <is>
          <t>Target Price</t>
        </is>
      </c>
      <c r="B10" s="10" t="n">
        <v>475</v>
      </c>
      <c r="C10" s="8" t="inlineStr">
        <is>
          <t>$ / share</t>
        </is>
      </c>
      <c r="D10" s="8" t="inlineStr">
        <is>
          <t>Report target price</t>
        </is>
      </c>
    </row>
    <row r="11">
      <c r="A11" s="8" t="inlineStr">
        <is>
          <t>Diluted Shares</t>
        </is>
      </c>
      <c r="B11" s="11" t="n">
        <v>95</v>
      </c>
      <c r="C11" s="8" t="inlineStr">
        <is>
          <t>mm</t>
        </is>
      </c>
      <c r="D11" s="8" t="inlineStr">
        <is>
          <t>DCF output page</t>
        </is>
      </c>
    </row>
    <row r="12">
      <c r="A12" s="8" t="inlineStr">
        <is>
          <t>Net Debt</t>
        </is>
      </c>
      <c r="B12" s="9" t="n">
        <v>4.5</v>
      </c>
      <c r="C12" s="8" t="inlineStr">
        <is>
          <t>$bn</t>
        </is>
      </c>
      <c r="D12" s="8" t="inlineStr">
        <is>
          <t>DCF equity value bridge</t>
        </is>
      </c>
    </row>
    <row r="13">
      <c r="A13" s="8" t="inlineStr">
        <is>
          <t>WACC</t>
        </is>
      </c>
      <c r="B13" s="12" t="n">
        <v>9.9</v>
      </c>
      <c r="C13" s="8" t="inlineStr">
        <is>
          <t>%</t>
        </is>
      </c>
      <c r="D13" s="8" t="inlineStr">
        <is>
          <t>DCF WACC build</t>
        </is>
      </c>
    </row>
    <row r="14">
      <c r="A14" s="8" t="inlineStr">
        <is>
          <t>Terminal Growth</t>
        </is>
      </c>
      <c r="B14" s="12" t="n">
        <v>2.5</v>
      </c>
      <c r="C14" s="8" t="inlineStr">
        <is>
          <t>%</t>
        </is>
      </c>
      <c r="D14" s="8" t="inlineStr">
        <is>
          <t>DCF methodology</t>
        </is>
      </c>
    </row>
    <row r="15">
      <c r="A15" s="8" t="inlineStr">
        <is>
          <t>FY26 Revenue Growth</t>
        </is>
      </c>
      <c r="B15" s="12" t="n">
        <v>28</v>
      </c>
      <c r="C15" s="8" t="inlineStr">
        <is>
          <t>%</t>
        </is>
      </c>
      <c r="D15" s="8" t="inlineStr">
        <is>
          <t>WDC summary</t>
        </is>
      </c>
    </row>
    <row r="16">
      <c r="A16" s="8" t="inlineStr">
        <is>
          <t>FY26 EBITDA Margin</t>
        </is>
      </c>
      <c r="B16" s="12" t="n">
        <v>30</v>
      </c>
      <c r="C16" s="8" t="inlineStr">
        <is>
          <t>%</t>
        </is>
      </c>
      <c r="D16" s="8" t="inlineStr">
        <is>
          <t>WDC summary</t>
        </is>
      </c>
    </row>
    <row r="17">
      <c r="A17" s="8" t="inlineStr">
        <is>
          <t>FY26 FCF Margin</t>
        </is>
      </c>
      <c r="B17" s="12" t="n">
        <v>18</v>
      </c>
      <c r="C17" s="8" t="inlineStr">
        <is>
          <t>%</t>
        </is>
      </c>
      <c r="D17" s="8" t="inlineStr">
        <is>
          <t>WDC summary</t>
        </is>
      </c>
    </row>
    <row r="18">
      <c r="A18" s="8" t="inlineStr">
        <is>
          <t>FY26 ROIC</t>
        </is>
      </c>
      <c r="B18" s="12" t="n">
        <v>19</v>
      </c>
      <c r="C18" s="8" t="inlineStr">
        <is>
          <t>%</t>
        </is>
      </c>
      <c r="D18" s="8" t="inlineStr">
        <is>
          <t>WDC summary</t>
        </is>
      </c>
    </row>
    <row r="19"/>
    <row r="20"/>
    <row r="21"/>
    <row r="22">
      <c r="A22" s="3" t="inlineStr">
        <is>
          <t>Operating Drivers</t>
        </is>
      </c>
    </row>
    <row r="23">
      <c r="A23" s="4" t="inlineStr">
        <is>
          <t>Driver</t>
        </is>
      </c>
      <c r="B23" s="4" t="inlineStr">
        <is>
          <t>Base Case</t>
        </is>
      </c>
      <c r="C23" s="4" t="inlineStr">
        <is>
          <t>Bull Case</t>
        </is>
      </c>
      <c r="D23" s="4" t="inlineStr">
        <is>
          <t>Bear Case</t>
        </is>
      </c>
    </row>
    <row r="24">
      <c r="A24" s="7" t="inlineStr">
        <is>
          <t>Hyperscaler AI storage demand</t>
        </is>
      </c>
      <c r="B24" s="7" t="inlineStr">
        <is>
          <t>Re-acceleration through FY26</t>
        </is>
      </c>
      <c r="C24" s="7" t="inlineStr">
        <is>
          <t>Stronger capex cycle and early order pull-forward</t>
        </is>
      </c>
      <c r="D24" s="7" t="inlineStr">
        <is>
          <t>Capex pause / digestion phase</t>
        </is>
      </c>
    </row>
    <row r="25">
      <c r="A25" s="7" t="inlineStr">
        <is>
          <t>UltraSMR / high-capacity drives</t>
        </is>
      </c>
      <c r="B25" s="7" t="inlineStr">
        <is>
          <t>26TB / 32TB adoption lifts ASPs</t>
        </is>
      </c>
      <c r="C25" s="7" t="inlineStr">
        <is>
          <t>Faster qualification and margin expansion</t>
        </is>
      </c>
      <c r="D25" s="7" t="inlineStr">
        <is>
          <t>Pricing reversal or NAND displacement</t>
        </is>
      </c>
    </row>
    <row r="26">
      <c r="A26" s="7" t="inlineStr">
        <is>
          <t>Post-spin margin story</t>
        </is>
      </c>
      <c r="B26" s="7" t="inlineStr">
        <is>
          <t>Cleaner HDD exposure and OPEX leverage</t>
        </is>
      </c>
      <c r="C26" s="7" t="inlineStr">
        <is>
          <t>Multiple re-rating toward STX</t>
        </is>
      </c>
      <c r="D26" s="7" t="inlineStr">
        <is>
          <t>Execution risk post spin-off</t>
        </is>
      </c>
    </row>
  </sheetData>
  <mergeCells count="4">
    <mergeCell ref="A4:H4"/>
    <mergeCell ref="A2:H2"/>
    <mergeCell ref="A22:H2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3" t="inlineStr">
        <is>
          <t>DCF Inputs</t>
        </is>
      </c>
    </row>
    <row r="2">
      <c r="A2" s="14" t="inlineStr">
        <is>
          <t>Forecast drivers used for WDC DCF model</t>
        </is>
      </c>
    </row>
    <row r="3"/>
    <row r="4">
      <c r="A4" s="15" t="inlineStr">
        <is>
          <t>Forecast</t>
        </is>
      </c>
    </row>
    <row r="5">
      <c r="A5" s="16" t="inlineStr">
        <is>
          <t>Metric</t>
        </is>
      </c>
      <c r="B5" s="16" t="inlineStr">
        <is>
          <t>FY26E</t>
        </is>
      </c>
      <c r="C5" s="16" t="inlineStr">
        <is>
          <t>FY27E</t>
        </is>
      </c>
      <c r="D5" s="16" t="inlineStr">
        <is>
          <t>FY28E</t>
        </is>
      </c>
      <c r="E5" s="16" t="inlineStr">
        <is>
          <t>FY29E</t>
        </is>
      </c>
      <c r="F5" s="16" t="inlineStr">
        <is>
          <t>FY30E</t>
        </is>
      </c>
    </row>
    <row r="6">
      <c r="A6" s="17" t="inlineStr">
        <is>
          <t>Revenue ($bn)</t>
        </is>
      </c>
      <c r="B6" s="18" t="n">
        <v>21.5</v>
      </c>
      <c r="C6" s="18" t="n">
        <v>24.3</v>
      </c>
      <c r="D6" s="18" t="n">
        <v>26.5</v>
      </c>
      <c r="E6" s="18" t="n">
        <v>28</v>
      </c>
      <c r="F6" s="18" t="n">
        <v>29.4</v>
      </c>
    </row>
    <row r="7">
      <c r="A7" s="17" t="inlineStr">
        <is>
          <t>Revenue Growth %</t>
        </is>
      </c>
      <c r="B7" s="19">
        <f>B6/16.8-1</f>
        <v/>
      </c>
      <c r="C7" s="19">
        <f>C6/B6-1</f>
        <v/>
      </c>
      <c r="D7" s="19">
        <f>D6/C6-1</f>
        <v/>
      </c>
      <c r="E7" s="19">
        <f>E6/D6-1</f>
        <v/>
      </c>
      <c r="F7" s="19">
        <f>F6/E6-1</f>
        <v/>
      </c>
    </row>
    <row r="8">
      <c r="A8" s="17" t="inlineStr">
        <is>
          <t>EBITDA Margin %</t>
        </is>
      </c>
      <c r="B8" s="20" t="n">
        <v>0.3</v>
      </c>
      <c r="C8" s="20" t="n">
        <v>0.32</v>
      </c>
      <c r="D8" s="20" t="n">
        <v>0.32</v>
      </c>
      <c r="E8" s="20" t="n">
        <v>0.32</v>
      </c>
      <c r="F8" s="20" t="n">
        <v>0.32</v>
      </c>
    </row>
    <row r="9">
      <c r="A9" s="17" t="inlineStr">
        <is>
          <t>EBITDA ($bn)</t>
        </is>
      </c>
      <c r="B9" s="21">
        <f>B6*B8</f>
        <v/>
      </c>
      <c r="C9" s="21">
        <f>C6*C8</f>
        <v/>
      </c>
      <c r="D9" s="21">
        <f>D6*D8</f>
        <v/>
      </c>
      <c r="E9" s="21">
        <f>E6*E8</f>
        <v/>
      </c>
      <c r="F9" s="21">
        <f>F6*F8</f>
        <v/>
      </c>
    </row>
    <row r="10">
      <c r="A10" s="17" t="inlineStr">
        <is>
          <t>FCF Margin %</t>
        </is>
      </c>
      <c r="B10" s="20" t="n">
        <v>0.18</v>
      </c>
      <c r="C10" s="20" t="n">
        <v>0.185</v>
      </c>
      <c r="D10" s="20" t="n">
        <v>0.19</v>
      </c>
      <c r="E10" s="20" t="n">
        <v>0.19</v>
      </c>
      <c r="F10" s="20" t="n">
        <v>0.19</v>
      </c>
    </row>
    <row r="11">
      <c r="A11" s="17" t="inlineStr">
        <is>
          <t>Unlevered FCF ($bn)</t>
        </is>
      </c>
      <c r="B11" s="21">
        <f>B6*B10</f>
        <v/>
      </c>
      <c r="C11" s="21">
        <f>C6*C10</f>
        <v/>
      </c>
      <c r="D11" s="21">
        <f>D6*D10</f>
        <v/>
      </c>
      <c r="E11" s="21">
        <f>E6*E10</f>
        <v/>
      </c>
      <c r="F11" s="21">
        <f>F6*F10</f>
        <v/>
      </c>
    </row>
    <row r="12"/>
    <row r="13"/>
    <row r="14">
      <c r="A14" s="15" t="inlineStr">
        <is>
          <t>Valuation Controls</t>
        </is>
      </c>
    </row>
    <row r="15">
      <c r="A15" s="16" t="inlineStr">
        <is>
          <t>Input</t>
        </is>
      </c>
      <c r="B15" s="16" t="inlineStr">
        <is>
          <t>Value</t>
        </is>
      </c>
      <c r="C15" s="16" t="inlineStr">
        <is>
          <t>Unit</t>
        </is>
      </c>
      <c r="D15" s="16" t="inlineStr">
        <is>
          <t>Source</t>
        </is>
      </c>
    </row>
    <row r="16">
      <c r="A16" s="22" t="inlineStr">
        <is>
          <t>WACC</t>
        </is>
      </c>
      <c r="B16" s="23" t="n">
        <v>0.099</v>
      </c>
      <c r="C16" s="22" t="inlineStr">
        <is>
          <t>%</t>
        </is>
      </c>
      <c r="D16" s="22" t="inlineStr">
        <is>
          <t>Report WACC build</t>
        </is>
      </c>
    </row>
    <row r="17">
      <c r="A17" s="22" t="inlineStr">
        <is>
          <t>Terminal Growth</t>
        </is>
      </c>
      <c r="B17" s="23" t="n">
        <v>0.025</v>
      </c>
      <c r="C17" s="22" t="inlineStr">
        <is>
          <t>%</t>
        </is>
      </c>
      <c r="D17" s="22" t="inlineStr">
        <is>
          <t>Report methodology</t>
        </is>
      </c>
    </row>
    <row r="18">
      <c r="A18" s="22" t="inlineStr">
        <is>
          <t>Net Debt</t>
        </is>
      </c>
      <c r="B18" s="24" t="n">
        <v>4.5</v>
      </c>
      <c r="C18" s="22" t="inlineStr">
        <is>
          <t>$bn</t>
        </is>
      </c>
      <c r="D18" s="22" t="inlineStr">
        <is>
          <t>DCF bridge</t>
        </is>
      </c>
    </row>
    <row r="19">
      <c r="A19" s="22" t="inlineStr">
        <is>
          <t>Diluted Shares</t>
        </is>
      </c>
      <c r="B19" s="24" t="n">
        <v>95</v>
      </c>
      <c r="C19" s="22" t="inlineStr">
        <is>
          <t>mm</t>
        </is>
      </c>
      <c r="D19" s="22" t="inlineStr">
        <is>
          <t>DCF bridge</t>
        </is>
      </c>
    </row>
    <row r="20"/>
    <row r="21"/>
    <row r="22">
      <c r="A22" s="15" t="inlineStr">
        <is>
          <t>DCF Output - Simplified</t>
        </is>
      </c>
    </row>
    <row r="23">
      <c r="A23" s="16" t="inlineStr">
        <is>
          <t>Metric</t>
        </is>
      </c>
      <c r="B23" s="16" t="inlineStr">
        <is>
          <t>Value</t>
        </is>
      </c>
    </row>
    <row r="24">
      <c r="A24" s="22" t="inlineStr">
        <is>
          <t>PV of Explicit FCF</t>
        </is>
      </c>
      <c r="B24" s="21">
        <f>SUM(B11:F11)/(1+B16)</f>
        <v/>
      </c>
    </row>
    <row r="25">
      <c r="A25" s="22" t="inlineStr">
        <is>
          <t>Terminal Value</t>
        </is>
      </c>
      <c r="B25" s="21">
        <f>F11*(1+B17)/(B16-B17)</f>
        <v/>
      </c>
    </row>
    <row r="26">
      <c r="A26" s="22" t="inlineStr">
        <is>
          <t>PV of Terminal Value</t>
        </is>
      </c>
      <c r="B26" s="21">
        <f>B25/(1+B16)^5</f>
        <v/>
      </c>
    </row>
    <row r="27">
      <c r="A27" s="22" t="inlineStr">
        <is>
          <t>Enterprise Value</t>
        </is>
      </c>
      <c r="B27" s="21">
        <f>B24+B26</f>
        <v/>
      </c>
    </row>
    <row r="28">
      <c r="A28" s="22" t="inlineStr">
        <is>
          <t>Less: Net Debt</t>
        </is>
      </c>
      <c r="B28" s="21">
        <f>B18</f>
        <v/>
      </c>
    </row>
    <row r="29">
      <c r="A29" s="22" t="inlineStr">
        <is>
          <t>Equity Value</t>
        </is>
      </c>
      <c r="B29" s="21">
        <f>B27-B28</f>
        <v/>
      </c>
    </row>
    <row r="30">
      <c r="A30" s="22" t="inlineStr">
        <is>
          <t>Diluted Shares</t>
        </is>
      </c>
      <c r="B30" s="21">
        <f>B19</f>
        <v/>
      </c>
    </row>
    <row r="31">
      <c r="A31" s="22" t="inlineStr">
        <is>
          <t>Implied Share Price</t>
        </is>
      </c>
      <c r="B31" s="25">
        <f>B29/B30</f>
        <v/>
      </c>
    </row>
  </sheetData>
  <mergeCells count="5">
    <mergeCell ref="A4:H4"/>
    <mergeCell ref="A2:H2"/>
    <mergeCell ref="A14:H14"/>
    <mergeCell ref="A1:H1"/>
    <mergeCell ref="A22:H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8" customWidth="1" min="4" max="4"/>
    <col width="14" customWidth="1" min="5" max="5"/>
    <col width="16" customWidth="1" min="6" max="6"/>
  </cols>
  <sheetData>
    <row r="1" ht="24" customHeight="1">
      <c r="A1" s="13" t="inlineStr">
        <is>
          <t>Trading Comps Inputs</t>
        </is>
      </c>
    </row>
    <row r="2">
      <c r="A2" s="14" t="inlineStr">
        <is>
          <t>Peer group from AI infrastructure coverage universe</t>
        </is>
      </c>
    </row>
    <row r="3"/>
    <row r="4">
      <c r="A4" s="15" t="inlineStr">
        <is>
          <t>Peer Multiples</t>
        </is>
      </c>
    </row>
    <row r="5">
      <c r="A5" s="16" t="inlineStr">
        <is>
          <t>Ticker</t>
        </is>
      </c>
      <c r="B5" s="16" t="inlineStr">
        <is>
          <t>Company / Theme</t>
        </is>
      </c>
      <c r="C5" s="16" t="inlineStr">
        <is>
          <t>Rating</t>
        </is>
      </c>
      <c r="D5" s="16" t="inlineStr">
        <is>
          <t>EV/EBITDA 26E</t>
        </is>
      </c>
      <c r="E5" s="16" t="inlineStr">
        <is>
          <t>P/E 26E</t>
        </is>
      </c>
      <c r="F5" s="16" t="inlineStr">
        <is>
          <t>Implied Upside</t>
        </is>
      </c>
    </row>
    <row r="6">
      <c r="A6" s="17" t="inlineStr">
        <is>
          <t>WDC</t>
        </is>
      </c>
      <c r="B6" s="17" t="inlineStr">
        <is>
          <t>Western Digital / Cloud HDD</t>
        </is>
      </c>
      <c r="C6" s="17" t="inlineStr">
        <is>
          <t>BUY</t>
        </is>
      </c>
      <c r="D6" s="26" t="n">
        <v>9.5</v>
      </c>
      <c r="E6" s="26" t="n">
        <v>14</v>
      </c>
      <c r="F6" s="27" t="n">
        <v>0.18</v>
      </c>
    </row>
    <row r="7">
      <c r="A7" s="17" t="inlineStr">
        <is>
          <t>STX</t>
        </is>
      </c>
      <c r="B7" s="17" t="inlineStr">
        <is>
          <t>Seagate / Mass-capacity HDD</t>
        </is>
      </c>
      <c r="C7" s="17" t="inlineStr">
        <is>
          <t>BUY</t>
        </is>
      </c>
      <c r="D7" s="26" t="n">
        <v>11</v>
      </c>
      <c r="E7" s="26" t="n">
        <v>15.5</v>
      </c>
      <c r="F7" s="27" t="n">
        <v>0.16</v>
      </c>
    </row>
    <row r="8">
      <c r="A8" s="17" t="inlineStr">
        <is>
          <t>LITE</t>
        </is>
      </c>
      <c r="B8" s="17" t="inlineStr">
        <is>
          <t>Lumentum / AI Optical</t>
        </is>
      </c>
      <c r="C8" s="17" t="inlineStr">
        <is>
          <t>BUY</t>
        </is>
      </c>
      <c r="D8" s="26" t="n">
        <v>18</v>
      </c>
      <c r="E8" s="26" t="n">
        <v>28</v>
      </c>
      <c r="F8" s="27" t="n">
        <v>0.16</v>
      </c>
    </row>
    <row r="9">
      <c r="A9" s="17" t="inlineStr">
        <is>
          <t>TER</t>
        </is>
      </c>
      <c r="B9" s="17" t="inlineStr">
        <is>
          <t>Teradyne / Semi Test</t>
        </is>
      </c>
      <c r="C9" s="17" t="inlineStr">
        <is>
          <t>BUY</t>
        </is>
      </c>
      <c r="D9" s="26" t="n">
        <v>19.5</v>
      </c>
      <c r="E9" s="26" t="n">
        <v>27</v>
      </c>
      <c r="F9" s="27" t="n">
        <v>0.11</v>
      </c>
    </row>
    <row r="10">
      <c r="A10" s="17" t="inlineStr">
        <is>
          <t>SNDK</t>
        </is>
      </c>
      <c r="B10" s="17" t="inlineStr">
        <is>
          <t>SanDisk / NAND Flash</t>
        </is>
      </c>
      <c r="C10" s="17" t="inlineStr">
        <is>
          <t>HOLD</t>
        </is>
      </c>
      <c r="D10" s="26" t="n">
        <v>8.5</v>
      </c>
      <c r="E10" s="26" t="n">
        <v>12</v>
      </c>
      <c r="F10" s="27" t="n">
        <v>-0.06</v>
      </c>
    </row>
    <row r="11">
      <c r="A11" s="17" t="inlineStr">
        <is>
          <t>CIEN</t>
        </is>
      </c>
      <c r="B11" s="17" t="inlineStr">
        <is>
          <t>Ciena / Optical Systems</t>
        </is>
      </c>
      <c r="C11" s="17" t="inlineStr">
        <is>
          <t>HOLD</t>
        </is>
      </c>
      <c r="D11" s="26" t="n">
        <v>13</v>
      </c>
      <c r="E11" s="26" t="n">
        <v>21</v>
      </c>
      <c r="F11" s="27" t="n">
        <v>0.06</v>
      </c>
    </row>
    <row r="12"/>
    <row r="13"/>
    <row r="14">
      <c r="A14" s="15" t="inlineStr">
        <is>
          <t>Summary</t>
        </is>
      </c>
    </row>
    <row r="15">
      <c r="A15" s="22" t="inlineStr">
        <is>
          <t>Coverage Avg EV/EBITDA</t>
        </is>
      </c>
      <c r="B15" s="28">
        <f>AVERAGE(D6:D11)</f>
        <v/>
      </c>
    </row>
    <row r="16">
      <c r="A16" s="22" t="inlineStr">
        <is>
          <t>WDC Discount / Premium vs Avg</t>
        </is>
      </c>
      <c r="B16" s="29">
        <f>D6/B15-1</f>
        <v/>
      </c>
    </row>
    <row r="17">
      <c r="A17" s="22" t="inlineStr">
        <is>
          <t>Coverage Avg P/E</t>
        </is>
      </c>
      <c r="B17" s="28">
        <f>AVERAGE(E6:E11)</f>
        <v/>
      </c>
    </row>
    <row r="18">
      <c r="A18" s="22" t="inlineStr">
        <is>
          <t>WDC P/E Discount / Premium</t>
        </is>
      </c>
      <c r="B18" s="29">
        <f>E6/B17-1</f>
        <v/>
      </c>
    </row>
  </sheetData>
  <mergeCells count="4">
    <mergeCell ref="A4:H4"/>
    <mergeCell ref="A14:H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80" customWidth="1" min="2" max="2"/>
  </cols>
  <sheetData>
    <row r="1" ht="24" customHeight="1">
      <c r="A1" s="1" t="inlineStr">
        <is>
          <t>Sources</t>
        </is>
      </c>
    </row>
    <row r="2">
      <c r="A2" s="2" t="inlineStr">
        <is>
          <t>Plain-text references for recruiter transparency</t>
        </is>
      </c>
    </row>
    <row r="3"/>
    <row r="4">
      <c r="A4" s="3" t="inlineStr">
        <is>
          <t>Source List</t>
        </is>
      </c>
    </row>
    <row r="5">
      <c r="A5" s="4" t="inlineStr">
        <is>
          <t>Source</t>
        </is>
      </c>
      <c r="B5" s="4" t="inlineStr">
        <is>
          <t>Use in Model</t>
        </is>
      </c>
    </row>
    <row r="6">
      <c r="A6" s="7" t="inlineStr">
        <is>
          <t>AI Infrastructure Equity Research Report, Nell Marzouk, EM Normandie, May 2026</t>
        </is>
      </c>
      <c r="B6" s="7" t="inlineStr">
        <is>
          <t>Primary inputs: WDC price, target price, upside, WACC, peer multiples, thesis and risk factors</t>
        </is>
      </c>
    </row>
    <row r="7">
      <c r="A7" s="7" t="inlineStr">
        <is>
          <t>Bloomberg Terminal / company filings listed in report appendix</t>
        </is>
      </c>
      <c r="B7" s="7" t="inlineStr">
        <is>
          <t>Underlying market and company data referenced by academic report</t>
        </is>
      </c>
    </row>
    <row r="8">
      <c r="A8" s="7" t="inlineStr">
        <is>
          <t>Damodaran implied ERP and country risk premia, cited in report appendix</t>
        </is>
      </c>
      <c r="B8" s="7" t="inlineStr">
        <is>
          <t>WACC framework</t>
        </is>
      </c>
    </row>
    <row r="9">
      <c r="A9" s="7" t="inlineStr">
        <is>
          <t>Company filings and earnings presentations, cited in report appendix</t>
        </is>
      </c>
      <c r="B9" s="7" t="inlineStr">
        <is>
          <t>Financials and qualitative drivers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2026-05-30T09:45:47Z</dcterms:created>
  <dcterms:modified xmlns:dcterms="http://purl.org/dc/terms/" xmlns:xsi="http://www.w3.org/2001/XMLSchema-instance" xsi:type="dcterms:W3CDTF">2026-05-30T09:45:47Z</dcterms:modified>
</cp:coreProperties>
</file>